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it\Desktop\kpcl-ai-chatbot\kpcl-ai-chatbot\backend\data\raw\"/>
    </mc:Choice>
  </mc:AlternateContent>
  <xr:revisionPtr revIDLastSave="0" documentId="13_ncr:1_{DE30D6BD-736A-4523-923F-DA0F79B6BAED}" xr6:coauthVersionLast="47" xr6:coauthVersionMax="47" xr10:uidLastSave="{00000000-0000-0000-0000-000000000000}"/>
  <bookViews>
    <workbookView xWindow="-110" yWindow="-110" windowWidth="19420" windowHeight="11500" xr2:uid="{F02BEE27-B3C5-494A-AFBB-54554A954EE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F2" i="2" s="1"/>
  <c r="D3" i="2"/>
  <c r="E3" i="2"/>
  <c r="F3" i="2"/>
  <c r="D4" i="2"/>
  <c r="E4" i="2"/>
  <c r="F4" i="2"/>
  <c r="D5" i="2"/>
  <c r="E5" i="2"/>
  <c r="F5" i="2"/>
  <c r="D6" i="2"/>
  <c r="E6" i="2"/>
  <c r="F6" i="2"/>
  <c r="D7" i="2"/>
  <c r="E7" i="2" s="1"/>
  <c r="F7" i="2" s="1"/>
  <c r="D8" i="2"/>
  <c r="E8" i="2"/>
  <c r="F8" i="2" s="1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 s="1"/>
  <c r="D15" i="2"/>
  <c r="E15" i="2"/>
  <c r="F15" i="2"/>
  <c r="D16" i="2"/>
  <c r="E16" i="2"/>
  <c r="F16" i="2"/>
  <c r="D17" i="2"/>
  <c r="E17" i="2"/>
  <c r="F17" i="2"/>
  <c r="D18" i="2"/>
  <c r="E18" i="2"/>
  <c r="F18" i="2" s="1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</calcChain>
</file>

<file path=xl/sharedStrings.xml><?xml version="1.0" encoding="utf-8"?>
<sst xmlns="http://schemas.openxmlformats.org/spreadsheetml/2006/main" count="31" uniqueCount="31">
  <si>
    <t>CYLINDER LINER KC/KCX</t>
  </si>
  <si>
    <t>OIL PUMP ASSEMBLY KCX</t>
  </si>
  <si>
    <t>PISTON RING SET KC/KCX</t>
  </si>
  <si>
    <t>PISTON KC/KCX</t>
  </si>
  <si>
    <t>DISCHARGE VALVE ASSEMBLY KCX</t>
  </si>
  <si>
    <t>PUMP ELEMENT OIL PUMP KCX</t>
  </si>
  <si>
    <t>SHAFT SEAL ASSEMBLY KC/KCX</t>
  </si>
  <si>
    <t>BEARING BUSH BIG END CON ROD KC/K</t>
  </si>
  <si>
    <t>PRESSURE SWITCH OP MP55A</t>
  </si>
  <si>
    <t>BUSH CONNECTING ROD KC/KCX</t>
  </si>
  <si>
    <t>BUFFER SPRING KC/KCX</t>
  </si>
  <si>
    <t>CRANKSHAFT ASSEMBLYKC4/KC31</t>
  </si>
  <si>
    <t>CRANKSHAFT ASSEMBLY PC2</t>
  </si>
  <si>
    <t>CRANKSHAFT ASSEMBLY KCX6</t>
  </si>
  <si>
    <t>CRANKSHAFT ASSEMBLY KCX4</t>
  </si>
  <si>
    <t>CRANKSHAFT ASSEMBLY KCX3</t>
  </si>
  <si>
    <t>CRANKSHAFT ASSEMBLY KCX2</t>
  </si>
  <si>
    <t>CRANKSHAFT ASSEMBLY KC9/KC63/KC72</t>
  </si>
  <si>
    <t>CRANKSHAFT ASSEMBLY KC6/KC42/KC51</t>
  </si>
  <si>
    <t>CRANKSHAFT ASSEMBLY KC3/KC21</t>
  </si>
  <si>
    <t>CRANKSHAFT ASSEMBLY KC2</t>
  </si>
  <si>
    <t>CRANKSHAFT ASSEMBLY KC12/KC102/KC93/KC84</t>
  </si>
  <si>
    <t>FLYWHEEL 6 GROOVE 675 PCD KC/KCX</t>
  </si>
  <si>
    <t>KIT DELIVERY VALVE KC/KCX</t>
  </si>
  <si>
    <t>OIL PUMP ASSEMBLY KC</t>
  </si>
  <si>
    <t>GROSS VALUE</t>
  </si>
  <si>
    <t>TAX VALUE</t>
  </si>
  <si>
    <t>BASIC VALUE</t>
  </si>
  <si>
    <t>UNIT PRICE</t>
  </si>
  <si>
    <t>QTY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</si>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</sst>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2" xfId="1" xr:uid="{293C71CC-D3B1-44F3-9C40-7DEBDF421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DA0D-E01D-4D00-8CD3-442581DE2883}">
  <dimension ref="A1:G26"/>
  <sheetViews>
    <sheetView tabSelected="1" workbookViewId="0">
      <selection sqref="A1:F1"/>
    </sheetView>
  </sheetViews>
  <sheetFormatPr defaultColWidth="9" defaultRowHeight="15.5" x14ac:dyDescent="0.35"/>
  <cols>
    <col min="1" max="1" width="41.81640625" style="2" bestFit="1" customWidth="1"/>
    <col min="2" max="2" width="4.26953125" style="2" bestFit="1" customWidth="1"/>
    <col min="3" max="3" width="10.26953125" style="2" bestFit="1" customWidth="1"/>
    <col min="4" max="4" width="11.7265625" style="2" bestFit="1" customWidth="1"/>
    <col min="5" max="5" width="10.26953125" style="2" bestFit="1" customWidth="1"/>
    <col min="6" max="7" width="12.54296875" style="2" bestFit="1" customWidth="1"/>
    <col min="8" max="16384" width="9" style="2"/>
  </cols>
  <sheetData>
    <row r="1" spans="1:7" x14ac:dyDescent="0.35">
      <c r="A1" s="1" t="s">
        <v>30</v>
      </c>
      <c r="B1" s="1" t="s">
        <v>29</v>
      </c>
      <c r="C1" s="1" t="s">
        <v>28</v>
      </c>
      <c r="D1" s="1" t="s">
        <v>27</v>
      </c>
      <c r="E1" s="1" t="s">
        <v>26</v>
      </c>
      <c r="F1" s="1" t="s">
        <v>25</v>
      </c>
      <c r="G1" s="7"/>
    </row>
    <row r="2" spans="1:7" x14ac:dyDescent="0.35">
      <c r="A2" s="3" t="s">
        <v>0</v>
      </c>
      <c r="B2" s="4">
        <v>1</v>
      </c>
      <c r="C2" s="4">
        <v>6408</v>
      </c>
      <c r="D2" s="4">
        <f t="shared" ref="D2:D26" si="0">C2</f>
        <v>6408</v>
      </c>
      <c r="E2" s="4">
        <f t="shared" ref="E2:E26" si="1">0.18*D2</f>
        <v>1153.44</v>
      </c>
      <c r="F2" s="4">
        <f t="shared" ref="F2:F26" si="2">E2+D2</f>
        <v>7561.4400000000005</v>
      </c>
      <c r="G2" s="8"/>
    </row>
    <row r="3" spans="1:7" x14ac:dyDescent="0.35">
      <c r="A3" s="3" t="s">
        <v>1</v>
      </c>
      <c r="B3" s="5">
        <v>1</v>
      </c>
      <c r="C3" s="5">
        <v>29614</v>
      </c>
      <c r="D3" s="4">
        <f t="shared" si="0"/>
        <v>29614</v>
      </c>
      <c r="E3" s="4">
        <f t="shared" si="1"/>
        <v>5330.5199999999995</v>
      </c>
      <c r="F3" s="4">
        <f t="shared" si="2"/>
        <v>34944.519999999997</v>
      </c>
      <c r="G3" s="8"/>
    </row>
    <row r="4" spans="1:7" x14ac:dyDescent="0.35">
      <c r="A4" s="3" t="s">
        <v>2</v>
      </c>
      <c r="B4" s="5">
        <v>1</v>
      </c>
      <c r="C4" s="5">
        <v>1195</v>
      </c>
      <c r="D4" s="4">
        <f t="shared" si="0"/>
        <v>1195</v>
      </c>
      <c r="E4" s="4">
        <f t="shared" si="1"/>
        <v>215.1</v>
      </c>
      <c r="F4" s="4">
        <f t="shared" si="2"/>
        <v>1410.1</v>
      </c>
      <c r="G4" s="8"/>
    </row>
    <row r="5" spans="1:7" x14ac:dyDescent="0.35">
      <c r="A5" s="3" t="s">
        <v>3</v>
      </c>
      <c r="B5" s="5">
        <v>1</v>
      </c>
      <c r="C5" s="5">
        <v>2944</v>
      </c>
      <c r="D5" s="4">
        <f t="shared" si="0"/>
        <v>2944</v>
      </c>
      <c r="E5" s="4">
        <f t="shared" si="1"/>
        <v>529.91999999999996</v>
      </c>
      <c r="F5" s="4">
        <f t="shared" si="2"/>
        <v>3473.92</v>
      </c>
      <c r="G5" s="8"/>
    </row>
    <row r="6" spans="1:7" x14ac:dyDescent="0.35">
      <c r="A6" s="3" t="s">
        <v>4</v>
      </c>
      <c r="B6" s="5">
        <v>1</v>
      </c>
      <c r="C6" s="5">
        <v>5884</v>
      </c>
      <c r="D6" s="4">
        <f t="shared" si="0"/>
        <v>5884</v>
      </c>
      <c r="E6" s="4">
        <f t="shared" si="1"/>
        <v>1059.1199999999999</v>
      </c>
      <c r="F6" s="4">
        <f t="shared" si="2"/>
        <v>6943.12</v>
      </c>
      <c r="G6" s="8"/>
    </row>
    <row r="7" spans="1:7" x14ac:dyDescent="0.35">
      <c r="A7" s="3" t="s">
        <v>5</v>
      </c>
      <c r="B7" s="5">
        <v>1</v>
      </c>
      <c r="C7" s="5">
        <v>17374</v>
      </c>
      <c r="D7" s="4">
        <f t="shared" si="0"/>
        <v>17374</v>
      </c>
      <c r="E7" s="4">
        <f t="shared" si="1"/>
        <v>3127.3199999999997</v>
      </c>
      <c r="F7" s="4">
        <f t="shared" si="2"/>
        <v>20501.32</v>
      </c>
      <c r="G7" s="8"/>
    </row>
    <row r="8" spans="1:7" x14ac:dyDescent="0.35">
      <c r="A8" s="3" t="s">
        <v>24</v>
      </c>
      <c r="B8" s="5">
        <v>1</v>
      </c>
      <c r="C8" s="5">
        <v>22295</v>
      </c>
      <c r="D8" s="4">
        <f t="shared" si="0"/>
        <v>22295</v>
      </c>
      <c r="E8" s="4">
        <f t="shared" si="1"/>
        <v>4013.1</v>
      </c>
      <c r="F8" s="4">
        <f t="shared" si="2"/>
        <v>26308.1</v>
      </c>
      <c r="G8" s="8"/>
    </row>
    <row r="9" spans="1:7" x14ac:dyDescent="0.35">
      <c r="A9" s="3" t="s">
        <v>6</v>
      </c>
      <c r="B9" s="5">
        <v>1</v>
      </c>
      <c r="C9" s="5">
        <v>6137</v>
      </c>
      <c r="D9" s="4">
        <f t="shared" si="0"/>
        <v>6137</v>
      </c>
      <c r="E9" s="4">
        <f t="shared" si="1"/>
        <v>1104.6599999999999</v>
      </c>
      <c r="F9" s="4">
        <f t="shared" si="2"/>
        <v>7241.66</v>
      </c>
      <c r="G9" s="8"/>
    </row>
    <row r="10" spans="1:7" x14ac:dyDescent="0.35">
      <c r="A10" s="3" t="s">
        <v>7</v>
      </c>
      <c r="B10" s="5">
        <v>1</v>
      </c>
      <c r="C10" s="5">
        <v>1509</v>
      </c>
      <c r="D10" s="4">
        <f t="shared" si="0"/>
        <v>1509</v>
      </c>
      <c r="E10" s="4">
        <f t="shared" si="1"/>
        <v>271.62</v>
      </c>
      <c r="F10" s="4">
        <f t="shared" si="2"/>
        <v>1780.62</v>
      </c>
      <c r="G10" s="8"/>
    </row>
    <row r="11" spans="1:7" x14ac:dyDescent="0.35">
      <c r="A11" s="3" t="s">
        <v>8</v>
      </c>
      <c r="B11" s="5">
        <v>1</v>
      </c>
      <c r="C11" s="5">
        <v>10856</v>
      </c>
      <c r="D11" s="4">
        <f t="shared" si="0"/>
        <v>10856</v>
      </c>
      <c r="E11" s="4">
        <f t="shared" si="1"/>
        <v>1954.08</v>
      </c>
      <c r="F11" s="4">
        <f t="shared" si="2"/>
        <v>12810.08</v>
      </c>
      <c r="G11" s="8"/>
    </row>
    <row r="12" spans="1:7" x14ac:dyDescent="0.35">
      <c r="A12" s="3" t="s">
        <v>9</v>
      </c>
      <c r="B12" s="5">
        <v>1</v>
      </c>
      <c r="C12" s="5">
        <v>1487</v>
      </c>
      <c r="D12" s="4">
        <f t="shared" si="0"/>
        <v>1487</v>
      </c>
      <c r="E12" s="4">
        <f t="shared" si="1"/>
        <v>267.65999999999997</v>
      </c>
      <c r="F12" s="4">
        <f t="shared" si="2"/>
        <v>1754.6599999999999</v>
      </c>
      <c r="G12" s="8"/>
    </row>
    <row r="13" spans="1:7" x14ac:dyDescent="0.35">
      <c r="A13" s="3" t="s">
        <v>23</v>
      </c>
      <c r="B13" s="5">
        <v>1</v>
      </c>
      <c r="C13" s="5">
        <v>2298</v>
      </c>
      <c r="D13" s="4">
        <f t="shared" si="0"/>
        <v>2298</v>
      </c>
      <c r="E13" s="4">
        <f t="shared" si="1"/>
        <v>413.64</v>
      </c>
      <c r="F13" s="4">
        <f t="shared" si="2"/>
        <v>2711.64</v>
      </c>
      <c r="G13" s="8"/>
    </row>
    <row r="14" spans="1:7" x14ac:dyDescent="0.35">
      <c r="A14" s="3" t="s">
        <v>22</v>
      </c>
      <c r="B14" s="5">
        <v>1</v>
      </c>
      <c r="C14" s="5">
        <v>92650</v>
      </c>
      <c r="D14" s="4">
        <f t="shared" si="0"/>
        <v>92650</v>
      </c>
      <c r="E14" s="4">
        <f t="shared" si="1"/>
        <v>16677</v>
      </c>
      <c r="F14" s="4">
        <f t="shared" si="2"/>
        <v>109327</v>
      </c>
      <c r="G14" s="8"/>
    </row>
    <row r="15" spans="1:7" x14ac:dyDescent="0.35">
      <c r="A15" s="3" t="s">
        <v>10</v>
      </c>
      <c r="B15" s="5">
        <v>1</v>
      </c>
      <c r="C15" s="5">
        <v>1565</v>
      </c>
      <c r="D15" s="4">
        <f t="shared" si="0"/>
        <v>1565</v>
      </c>
      <c r="E15" s="4">
        <f t="shared" si="1"/>
        <v>281.7</v>
      </c>
      <c r="F15" s="4">
        <f t="shared" si="2"/>
        <v>1846.7</v>
      </c>
      <c r="G15" s="8"/>
    </row>
    <row r="16" spans="1:7" x14ac:dyDescent="0.35">
      <c r="A16" s="3" t="s">
        <v>21</v>
      </c>
      <c r="B16" s="5">
        <v>1</v>
      </c>
      <c r="C16" s="5">
        <v>179165</v>
      </c>
      <c r="D16" s="4">
        <f t="shared" si="0"/>
        <v>179165</v>
      </c>
      <c r="E16" s="4">
        <f t="shared" si="1"/>
        <v>32249.699999999997</v>
      </c>
      <c r="F16" s="4">
        <f t="shared" si="2"/>
        <v>211414.7</v>
      </c>
      <c r="G16" s="8"/>
    </row>
    <row r="17" spans="1:7" x14ac:dyDescent="0.35">
      <c r="A17" s="3" t="s">
        <v>20</v>
      </c>
      <c r="B17" s="5">
        <v>1</v>
      </c>
      <c r="C17" s="6">
        <v>44554</v>
      </c>
      <c r="D17" s="4">
        <f t="shared" si="0"/>
        <v>44554</v>
      </c>
      <c r="E17" s="4">
        <f t="shared" si="1"/>
        <v>8019.7199999999993</v>
      </c>
      <c r="F17" s="4">
        <f t="shared" si="2"/>
        <v>52573.72</v>
      </c>
      <c r="G17" s="8"/>
    </row>
    <row r="18" spans="1:7" x14ac:dyDescent="0.35">
      <c r="A18" s="3" t="s">
        <v>19</v>
      </c>
      <c r="B18" s="5">
        <v>1</v>
      </c>
      <c r="C18" s="6">
        <v>41225</v>
      </c>
      <c r="D18" s="4">
        <f t="shared" si="0"/>
        <v>41225</v>
      </c>
      <c r="E18" s="4">
        <f t="shared" si="1"/>
        <v>7420.5</v>
      </c>
      <c r="F18" s="4">
        <f t="shared" si="2"/>
        <v>48645.5</v>
      </c>
      <c r="G18" s="8"/>
    </row>
    <row r="19" spans="1:7" x14ac:dyDescent="0.35">
      <c r="A19" s="3" t="s">
        <v>18</v>
      </c>
      <c r="B19" s="5">
        <v>1</v>
      </c>
      <c r="C19" s="6">
        <v>58839</v>
      </c>
      <c r="D19" s="4">
        <f t="shared" si="0"/>
        <v>58839</v>
      </c>
      <c r="E19" s="4">
        <f t="shared" si="1"/>
        <v>10591.02</v>
      </c>
      <c r="F19" s="4">
        <f t="shared" si="2"/>
        <v>69430.02</v>
      </c>
      <c r="G19" s="8"/>
    </row>
    <row r="20" spans="1:7" x14ac:dyDescent="0.35">
      <c r="A20" s="3" t="s">
        <v>17</v>
      </c>
      <c r="B20" s="5">
        <v>1</v>
      </c>
      <c r="C20" s="6">
        <v>133233</v>
      </c>
      <c r="D20" s="4">
        <f t="shared" si="0"/>
        <v>133233</v>
      </c>
      <c r="E20" s="4">
        <f t="shared" si="1"/>
        <v>23981.94</v>
      </c>
      <c r="F20" s="4">
        <f t="shared" si="2"/>
        <v>157214.94</v>
      </c>
      <c r="G20" s="8"/>
    </row>
    <row r="21" spans="1:7" x14ac:dyDescent="0.35">
      <c r="A21" s="3" t="s">
        <v>16</v>
      </c>
      <c r="B21" s="5">
        <v>1</v>
      </c>
      <c r="C21" s="6">
        <v>39900</v>
      </c>
      <c r="D21" s="4">
        <f t="shared" si="0"/>
        <v>39900</v>
      </c>
      <c r="E21" s="4">
        <f t="shared" si="1"/>
        <v>7182</v>
      </c>
      <c r="F21" s="4">
        <f t="shared" si="2"/>
        <v>47082</v>
      </c>
      <c r="G21" s="8"/>
    </row>
    <row r="22" spans="1:7" x14ac:dyDescent="0.35">
      <c r="A22" s="3" t="s">
        <v>15</v>
      </c>
      <c r="B22" s="5">
        <v>1</v>
      </c>
      <c r="C22" s="5">
        <v>40800</v>
      </c>
      <c r="D22" s="4">
        <f t="shared" si="0"/>
        <v>40800</v>
      </c>
      <c r="E22" s="4">
        <f t="shared" si="1"/>
        <v>7344</v>
      </c>
      <c r="F22" s="4">
        <f t="shared" si="2"/>
        <v>48144</v>
      </c>
      <c r="G22" s="8"/>
    </row>
    <row r="23" spans="1:7" x14ac:dyDescent="0.35">
      <c r="A23" s="3" t="s">
        <v>14</v>
      </c>
      <c r="B23" s="5">
        <v>1</v>
      </c>
      <c r="C23" s="6">
        <v>48396</v>
      </c>
      <c r="D23" s="4">
        <f t="shared" si="0"/>
        <v>48396</v>
      </c>
      <c r="E23" s="4">
        <f t="shared" si="1"/>
        <v>8711.2799999999988</v>
      </c>
      <c r="F23" s="4">
        <f t="shared" si="2"/>
        <v>57107.28</v>
      </c>
      <c r="G23" s="8"/>
    </row>
    <row r="24" spans="1:7" x14ac:dyDescent="0.35">
      <c r="A24" s="3" t="s">
        <v>13</v>
      </c>
      <c r="B24" s="5">
        <v>1</v>
      </c>
      <c r="C24" s="6">
        <v>57368</v>
      </c>
      <c r="D24" s="4">
        <f t="shared" si="0"/>
        <v>57368</v>
      </c>
      <c r="E24" s="4">
        <f t="shared" si="1"/>
        <v>10326.24</v>
      </c>
      <c r="F24" s="4">
        <f t="shared" si="2"/>
        <v>67694.240000000005</v>
      </c>
      <c r="G24" s="8"/>
    </row>
    <row r="25" spans="1:7" x14ac:dyDescent="0.35">
      <c r="A25" s="3" t="s">
        <v>12</v>
      </c>
      <c r="B25" s="5">
        <v>1</v>
      </c>
      <c r="C25" s="6">
        <v>27760</v>
      </c>
      <c r="D25" s="4">
        <f t="shared" si="0"/>
        <v>27760</v>
      </c>
      <c r="E25" s="4">
        <f t="shared" si="1"/>
        <v>4996.8</v>
      </c>
      <c r="F25" s="4">
        <f t="shared" si="2"/>
        <v>32756.799999999999</v>
      </c>
      <c r="G25" s="8"/>
    </row>
    <row r="26" spans="1:7" x14ac:dyDescent="0.35">
      <c r="A26" s="3" t="s">
        <v>11</v>
      </c>
      <c r="B26" s="5">
        <v>1</v>
      </c>
      <c r="C26" s="6">
        <v>51850</v>
      </c>
      <c r="D26" s="4">
        <f t="shared" si="0"/>
        <v>51850</v>
      </c>
      <c r="E26" s="4">
        <f t="shared" si="1"/>
        <v>9333</v>
      </c>
      <c r="F26" s="4">
        <f t="shared" si="2"/>
        <v>61183</v>
      </c>
      <c r="G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shinde</dc:creator>
  <cp:lastModifiedBy>sanskruti pasalkar</cp:lastModifiedBy>
  <dcterms:created xsi:type="dcterms:W3CDTF">2026-02-25T04:56:45Z</dcterms:created>
  <dcterms:modified xsi:type="dcterms:W3CDTF">2026-02-25T07:32:57Z</dcterms:modified>
</cp:coreProperties>
</file>